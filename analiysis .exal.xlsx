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e2c04525ad16ae/Desktop/mock test/"/>
    </mc:Choice>
  </mc:AlternateContent>
  <xr:revisionPtr revIDLastSave="12" documentId="8_{55A4679B-B8A7-47BD-A3BC-9A0ED506C7EE}" xr6:coauthVersionLast="47" xr6:coauthVersionMax="47" xr10:uidLastSave="{D4384F11-27A4-4065-9AF1-0371F8EABFA1}"/>
  <bookViews>
    <workbookView xWindow="-108" yWindow="-108" windowWidth="23256" windowHeight="12456" activeTab="3" xr2:uid="{7672191F-9B83-4B65-8F4D-99E3C52D5A62}"/>
  </bookViews>
  <sheets>
    <sheet name="raw" sheetId="1" r:id="rId1"/>
    <sheet name="lookup" sheetId="2" r:id="rId2"/>
    <sheet name="clean" sheetId="4" r:id="rId3"/>
    <sheet name="summary" sheetId="5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" i="5"/>
  <c r="B2" i="5"/>
  <c r="H3" i="4"/>
  <c r="H4" i="4"/>
  <c r="H5" i="4"/>
  <c r="H6" i="4"/>
  <c r="H7" i="4"/>
  <c r="H8" i="4"/>
  <c r="H9" i="4"/>
  <c r="H10" i="4"/>
  <c r="H11" i="4"/>
  <c r="H12" i="4"/>
  <c r="H13" i="4"/>
  <c r="H2" i="4"/>
  <c r="G3" i="4"/>
  <c r="G4" i="4"/>
  <c r="G5" i="4"/>
  <c r="G6" i="4"/>
  <c r="G7" i="4"/>
  <c r="G8" i="4"/>
  <c r="G9" i="4"/>
  <c r="G10" i="4"/>
  <c r="G11" i="4"/>
  <c r="G12" i="4"/>
  <c r="G13" i="4"/>
  <c r="G2" i="4"/>
  <c r="L3" i="4"/>
</calcChain>
</file>

<file path=xl/sharedStrings.xml><?xml version="1.0" encoding="utf-8"?>
<sst xmlns="http://schemas.openxmlformats.org/spreadsheetml/2006/main" count="123" uniqueCount="35">
  <si>
    <t>assessment_id</t>
  </si>
  <si>
    <t>month</t>
  </si>
  <si>
    <t>course_id</t>
  </si>
  <si>
    <t>batch</t>
  </si>
  <si>
    <t>score</t>
  </si>
  <si>
    <t>attendance_pct</t>
  </si>
  <si>
    <t>Jan</t>
  </si>
  <si>
    <t>C1</t>
  </si>
  <si>
    <t>Morning</t>
  </si>
  <si>
    <t>C2</t>
  </si>
  <si>
    <t>Evening</t>
  </si>
  <si>
    <t>C3</t>
  </si>
  <si>
    <t>C4</t>
  </si>
  <si>
    <t>Weekend</t>
  </si>
  <si>
    <t>Feb</t>
  </si>
  <si>
    <t>Mar</t>
  </si>
  <si>
    <t>Excel</t>
  </si>
  <si>
    <t>Business</t>
  </si>
  <si>
    <t>PowerBI</t>
  </si>
  <si>
    <t>SQL</t>
  </si>
  <si>
    <t>Technology</t>
  </si>
  <si>
    <t>Python</t>
  </si>
  <si>
    <t>course</t>
  </si>
  <si>
    <t>department</t>
  </si>
  <si>
    <t>count</t>
  </si>
  <si>
    <t>raw count</t>
  </si>
  <si>
    <t>after</t>
  </si>
  <si>
    <t>before</t>
  </si>
  <si>
    <t>pass_flag</t>
  </si>
  <si>
    <t>Batch</t>
  </si>
  <si>
    <t>Passing Assessments</t>
  </si>
  <si>
    <t>Row Labels</t>
  </si>
  <si>
    <t>Grand Total</t>
  </si>
  <si>
    <t>Column Labels</t>
  </si>
  <si>
    <t>Average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</si>
</sst>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1" fillId="0" borderId="0" xfId="0" applyNumberFormat="1" applyFon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2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Business</c:v>
              </c:pt>
              <c:pt idx="1">
                <c:v>Technology</c:v>
              </c:pt>
            </c:strLit>
          </c:cat>
          <c:val>
            <c:numLit>
              <c:formatCode>General</c:formatCode>
              <c:ptCount val="2"/>
              <c:pt idx="0">
                <c:v>58.5</c:v>
              </c:pt>
              <c:pt idx="1">
                <c:v>51.5</c:v>
              </c:pt>
            </c:numLit>
          </c:val>
          <c:extLst>
            <c:ext xmlns:c16="http://schemas.microsoft.com/office/drawing/2014/chart" uri="{C3380CC4-5D6E-409C-BE32-E72D297353CC}">
              <c16:uniqueId val="{00000000-5780-4B23-B20A-0E7ACB02FE8D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Business</c:v>
              </c:pt>
              <c:pt idx="1">
                <c:v>Technology</c:v>
              </c:pt>
            </c:strLit>
          </c:cat>
          <c:val>
            <c:numLit>
              <c:formatCode>General</c:formatCode>
              <c:ptCount val="2"/>
              <c:pt idx="0">
                <c:v>67.5</c:v>
              </c:pt>
              <c:pt idx="1">
                <c:v>58</c:v>
              </c:pt>
            </c:numLit>
          </c:val>
          <c:extLst>
            <c:ext xmlns:c16="http://schemas.microsoft.com/office/drawing/2014/chart" uri="{C3380CC4-5D6E-409C-BE32-E72D297353CC}">
              <c16:uniqueId val="{00000001-5780-4B23-B20A-0E7ACB02FE8D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Business</c:v>
              </c:pt>
              <c:pt idx="1">
                <c:v>Technology</c:v>
              </c:pt>
            </c:strLit>
          </c:cat>
          <c:val>
            <c:numLit>
              <c:formatCode>General</c:formatCode>
              <c:ptCount val="2"/>
              <c:pt idx="0">
                <c:v>75</c:v>
              </c:pt>
              <c:pt idx="1">
                <c:v>58.5</c:v>
              </c:pt>
            </c:numLit>
          </c:val>
          <c:extLst>
            <c:ext xmlns:c16="http://schemas.microsoft.com/office/drawing/2014/chart" uri="{C3380CC4-5D6E-409C-BE32-E72D297353CC}">
              <c16:uniqueId val="{00000002-5780-4B23-B20A-0E7ACB02F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5345455"/>
        <c:axId val="1342859663"/>
      </c:barChart>
      <c:catAx>
        <c:axId val="143534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859663"/>
        <c:crosses val="autoZero"/>
        <c:auto val="1"/>
        <c:lblAlgn val="ctr"/>
        <c:lblOffset val="100"/>
        <c:noMultiLvlLbl val="0"/>
      </c:catAx>
      <c:valAx>
        <c:axId val="134285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34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12</xdr:row>
      <xdr:rowOff>0</xdr:rowOff>
    </xdr:from>
    <xdr:to>
      <xdr:col>16</xdr:col>
      <xdr:colOff>289560</xdr:colOff>
      <xdr:row>26</xdr:row>
      <xdr:rowOff>161109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44967-60B5-476F-BDDB-E59A7F403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l Thakkar" refreshedDate="46294.439696990739" createdVersion="8" refreshedVersion="8" minRefreshableVersion="3" recordCount="12" xr:uid="{1E64A7C5-BAAB-458B-A26F-94DA9456F4B2}">
  <cacheSource type="worksheet">
    <worksheetSource ref="A1:H13" sheet="clean"/>
  </cacheSource>
  <cacheFields count="8">
    <cacheField name="assessment_id" numFmtId="2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course_id" numFmtId="0">
      <sharedItems/>
    </cacheField>
    <cacheField name="batch" numFmtId="49">
      <sharedItems/>
    </cacheField>
    <cacheField name="score" numFmtId="2">
      <sharedItems containsSemiMixedTypes="0" containsString="0" containsNumber="1" containsInteger="1" minValue="38" maxValue="90"/>
    </cacheField>
    <cacheField name="attendance_pct" numFmtId="2">
      <sharedItems containsSemiMixedTypes="0" containsString="0" containsNumber="1" containsInteger="1" minValue="60" maxValue="98"/>
    </cacheField>
    <cacheField name="department" numFmtId="49">
      <sharedItems count="2">
        <s v="Business"/>
        <s v="Technology"/>
      </sharedItems>
    </cacheField>
    <cacheField name="pass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C1"/>
    <s v="Morning"/>
    <n v="72"/>
    <n v="90"/>
    <x v="0"/>
    <n v="1"/>
  </r>
  <r>
    <n v="2"/>
    <x v="0"/>
    <s v="C2"/>
    <s v="Evening"/>
    <n v="45"/>
    <n v="70"/>
    <x v="0"/>
    <n v="0"/>
  </r>
  <r>
    <n v="3"/>
    <x v="0"/>
    <s v="C3"/>
    <s v="Morning"/>
    <n v="65"/>
    <n v="85"/>
    <x v="1"/>
    <n v="1"/>
  </r>
  <r>
    <n v="4"/>
    <x v="0"/>
    <s v="C4"/>
    <s v="Weekend"/>
    <n v="38"/>
    <n v="60"/>
    <x v="1"/>
    <n v="0"/>
  </r>
  <r>
    <n v="5"/>
    <x v="1"/>
    <s v="C1"/>
    <s v="Evening"/>
    <n v="80"/>
    <n v="95"/>
    <x v="0"/>
    <n v="1"/>
  </r>
  <r>
    <n v="6"/>
    <x v="1"/>
    <s v="C2"/>
    <s v="Weekend"/>
    <n v="55"/>
    <n v="80"/>
    <x v="0"/>
    <n v="1"/>
  </r>
  <r>
    <n v="7"/>
    <x v="1"/>
    <s v="C3"/>
    <s v="Morning"/>
    <n v="48"/>
    <n v="75"/>
    <x v="1"/>
    <n v="0"/>
  </r>
  <r>
    <n v="8"/>
    <x v="1"/>
    <s v="C4"/>
    <s v="Evening"/>
    <n v="68"/>
    <n v="88"/>
    <x v="1"/>
    <n v="1"/>
  </r>
  <r>
    <n v="9"/>
    <x v="2"/>
    <s v="C1"/>
    <s v="Weekend"/>
    <n v="90"/>
    <n v="98"/>
    <x v="0"/>
    <n v="1"/>
  </r>
  <r>
    <n v="10"/>
    <x v="2"/>
    <s v="C2"/>
    <s v="Morning"/>
    <n v="60"/>
    <n v="82"/>
    <x v="0"/>
    <n v="1"/>
  </r>
  <r>
    <n v="11"/>
    <x v="2"/>
    <s v="C3"/>
    <s v="Evening"/>
    <n v="75"/>
    <n v="92"/>
    <x v="1"/>
    <n v="1"/>
  </r>
  <r>
    <n v="12"/>
    <x v="2"/>
    <s v="C4"/>
    <s v="Weekend"/>
    <n v="42"/>
    <n v="6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57F3C-B522-4641-B556-DAA256105AE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10:H14" firstHeaderRow="1" firstDataRow="2" firstDataCol="1"/>
  <pivotFields count="8">
    <pivotField numFmtId="2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numFmtId="2"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score" fld="4" subtotal="average" baseField="0" baseItem="0" numFmtId="2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3185-9880-458E-AF4D-A5CC3A88B9FE}">
  <dimension ref="A1:F14"/>
  <sheetViews>
    <sheetView zoomScale="76" zoomScaleNormal="81" workbookViewId="0">
      <selection activeCell="H14" sqref="H14"/>
    </sheetView>
  </sheetViews>
  <sheetFormatPr defaultRowHeight="14.4" x14ac:dyDescent="0.3"/>
  <sheetData>
    <row r="1" spans="1:6" ht="28.8" x14ac:dyDescent="0.3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spans="1:6" x14ac:dyDescent="0.3">
      <c r="A2" s="1">
        <v>1</v>
      </c>
      <c r="B2" s="4" t="s">
        <v>6</v>
      </c>
      <c r="C2" s="4" t="s">
        <v>7</v>
      </c>
      <c r="D2" s="4" t="s">
        <v>8</v>
      </c>
      <c r="E2" s="1">
        <v>72</v>
      </c>
      <c r="F2" s="1">
        <v>90</v>
      </c>
    </row>
    <row r="3" spans="1:6" x14ac:dyDescent="0.3">
      <c r="A3" s="1">
        <v>2</v>
      </c>
      <c r="B3" s="4" t="s">
        <v>6</v>
      </c>
      <c r="C3" s="4" t="s">
        <v>9</v>
      </c>
      <c r="D3" s="4" t="s">
        <v>10</v>
      </c>
      <c r="E3" s="1">
        <v>45</v>
      </c>
      <c r="F3" s="1">
        <v>70</v>
      </c>
    </row>
    <row r="4" spans="1:6" x14ac:dyDescent="0.3">
      <c r="A4" s="1">
        <v>3</v>
      </c>
      <c r="B4" s="4" t="s">
        <v>6</v>
      </c>
      <c r="C4" s="4" t="s">
        <v>11</v>
      </c>
      <c r="D4" s="4" t="s">
        <v>8</v>
      </c>
      <c r="E4" s="1">
        <v>65</v>
      </c>
      <c r="F4" s="1">
        <v>85</v>
      </c>
    </row>
    <row r="5" spans="1:6" x14ac:dyDescent="0.3">
      <c r="A5" s="1">
        <v>4</v>
      </c>
      <c r="B5" s="4" t="s">
        <v>6</v>
      </c>
      <c r="C5" s="4" t="s">
        <v>12</v>
      </c>
      <c r="D5" s="4" t="s">
        <v>13</v>
      </c>
      <c r="E5" s="1">
        <v>38</v>
      </c>
      <c r="F5" s="1">
        <v>60</v>
      </c>
    </row>
    <row r="6" spans="1:6" x14ac:dyDescent="0.3">
      <c r="A6" s="1">
        <v>5</v>
      </c>
      <c r="B6" s="4" t="s">
        <v>14</v>
      </c>
      <c r="C6" s="4" t="s">
        <v>7</v>
      </c>
      <c r="D6" s="4" t="s">
        <v>10</v>
      </c>
      <c r="E6" s="1">
        <v>80</v>
      </c>
      <c r="F6" s="1">
        <v>95</v>
      </c>
    </row>
    <row r="7" spans="1:6" x14ac:dyDescent="0.3">
      <c r="A7" s="1">
        <v>6</v>
      </c>
      <c r="B7" s="4" t="s">
        <v>14</v>
      </c>
      <c r="C7" s="4" t="s">
        <v>9</v>
      </c>
      <c r="D7" s="4" t="s">
        <v>13</v>
      </c>
      <c r="E7" s="1">
        <v>55</v>
      </c>
      <c r="F7" s="1">
        <v>80</v>
      </c>
    </row>
    <row r="8" spans="1:6" x14ac:dyDescent="0.3">
      <c r="A8" s="1">
        <v>7</v>
      </c>
      <c r="B8" s="4" t="s">
        <v>14</v>
      </c>
      <c r="C8" s="4" t="s">
        <v>11</v>
      </c>
      <c r="D8" s="4" t="s">
        <v>8</v>
      </c>
      <c r="E8" s="1">
        <v>48</v>
      </c>
      <c r="F8" s="1">
        <v>75</v>
      </c>
    </row>
    <row r="9" spans="1:6" x14ac:dyDescent="0.3">
      <c r="A9" s="1">
        <v>8</v>
      </c>
      <c r="B9" s="4" t="s">
        <v>14</v>
      </c>
      <c r="C9" s="4" t="s">
        <v>12</v>
      </c>
      <c r="D9" s="4" t="s">
        <v>10</v>
      </c>
      <c r="E9" s="1">
        <v>68</v>
      </c>
      <c r="F9" s="1">
        <v>88</v>
      </c>
    </row>
    <row r="10" spans="1:6" x14ac:dyDescent="0.3">
      <c r="A10" s="1">
        <v>9</v>
      </c>
      <c r="B10" s="4" t="s">
        <v>15</v>
      </c>
      <c r="C10" s="4" t="s">
        <v>7</v>
      </c>
      <c r="D10" s="4" t="s">
        <v>13</v>
      </c>
      <c r="E10" s="1">
        <v>90</v>
      </c>
      <c r="F10" s="1">
        <v>98</v>
      </c>
    </row>
    <row r="11" spans="1:6" x14ac:dyDescent="0.3">
      <c r="A11" s="1">
        <v>10</v>
      </c>
      <c r="B11" s="4" t="s">
        <v>15</v>
      </c>
      <c r="C11" s="4" t="s">
        <v>9</v>
      </c>
      <c r="D11" s="4" t="s">
        <v>8</v>
      </c>
      <c r="E11" s="1">
        <v>60</v>
      </c>
      <c r="F11" s="1">
        <v>82</v>
      </c>
    </row>
    <row r="12" spans="1:6" x14ac:dyDescent="0.3">
      <c r="A12" s="1">
        <v>11</v>
      </c>
      <c r="B12" s="4" t="s">
        <v>15</v>
      </c>
      <c r="C12" s="4" t="s">
        <v>11</v>
      </c>
      <c r="D12" s="4" t="s">
        <v>10</v>
      </c>
      <c r="E12" s="1">
        <v>75</v>
      </c>
      <c r="F12" s="1">
        <v>92</v>
      </c>
    </row>
    <row r="13" spans="1:6" x14ac:dyDescent="0.3">
      <c r="A13" s="1">
        <v>12</v>
      </c>
      <c r="B13" s="4" t="s">
        <v>15</v>
      </c>
      <c r="C13" s="4" t="s">
        <v>12</v>
      </c>
      <c r="D13" s="4" t="s">
        <v>13</v>
      </c>
      <c r="E13" s="1">
        <v>42</v>
      </c>
      <c r="F13" s="1">
        <v>65</v>
      </c>
    </row>
    <row r="14" spans="1:6" x14ac:dyDescent="0.3">
      <c r="A14" s="1">
        <v>12</v>
      </c>
      <c r="B14" s="4" t="s">
        <v>15</v>
      </c>
      <c r="C14" s="4" t="s">
        <v>12</v>
      </c>
      <c r="D14" s="4" t="s">
        <v>13</v>
      </c>
      <c r="E14" s="1">
        <v>42</v>
      </c>
      <c r="F14" s="1">
        <v>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A4B1-98E9-4C08-BAA3-88A71406F8D4}">
  <dimension ref="A1:C5"/>
  <sheetViews>
    <sheetView workbookViewId="0">
      <selection activeCell="C5" sqref="C5"/>
    </sheetView>
  </sheetViews>
  <sheetFormatPr defaultRowHeight="14.4" x14ac:dyDescent="0.3"/>
  <cols>
    <col min="3" max="3" width="10.21875" customWidth="1"/>
  </cols>
  <sheetData>
    <row r="1" spans="1:3" ht="28.8" x14ac:dyDescent="0.3">
      <c r="A1" s="3" t="s">
        <v>2</v>
      </c>
      <c r="B1" s="3" t="s">
        <v>22</v>
      </c>
      <c r="C1" s="3" t="s">
        <v>23</v>
      </c>
    </row>
    <row r="2" spans="1:3" x14ac:dyDescent="0.3">
      <c r="A2" s="4" t="s">
        <v>7</v>
      </c>
      <c r="B2" s="4" t="s">
        <v>16</v>
      </c>
      <c r="C2" s="4" t="s">
        <v>17</v>
      </c>
    </row>
    <row r="3" spans="1:3" x14ac:dyDescent="0.3">
      <c r="A3" s="4" t="s">
        <v>9</v>
      </c>
      <c r="B3" s="4" t="s">
        <v>18</v>
      </c>
      <c r="C3" s="4" t="s">
        <v>17</v>
      </c>
    </row>
    <row r="4" spans="1:3" ht="28.8" x14ac:dyDescent="0.3">
      <c r="A4" s="4" t="s">
        <v>11</v>
      </c>
      <c r="B4" s="4" t="s">
        <v>19</v>
      </c>
      <c r="C4" s="4" t="s">
        <v>20</v>
      </c>
    </row>
    <row r="5" spans="1:3" ht="28.8" x14ac:dyDescent="0.3">
      <c r="A5" s="4" t="s">
        <v>12</v>
      </c>
      <c r="B5" s="4" t="s">
        <v>21</v>
      </c>
      <c r="C5" s="4" t="s">
        <v>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ED9E-6CF4-4A64-95A9-1EFA0B254AB8}">
  <dimension ref="A1:L14"/>
  <sheetViews>
    <sheetView workbookViewId="0">
      <selection activeCell="G19" sqref="G19"/>
    </sheetView>
  </sheetViews>
  <sheetFormatPr defaultRowHeight="14.4" x14ac:dyDescent="0.3"/>
  <cols>
    <col min="5" max="5" width="8.88671875" style="7"/>
    <col min="7" max="7" width="11.5546875" customWidth="1"/>
  </cols>
  <sheetData>
    <row r="1" spans="1:12" ht="28.8" x14ac:dyDescent="0.3">
      <c r="A1" s="5" t="s">
        <v>0</v>
      </c>
      <c r="B1" s="3" t="s">
        <v>1</v>
      </c>
      <c r="C1" s="3" t="s">
        <v>2</v>
      </c>
      <c r="D1" s="8" t="s">
        <v>3</v>
      </c>
      <c r="E1" s="5" t="s">
        <v>4</v>
      </c>
      <c r="F1" s="5" t="s">
        <v>5</v>
      </c>
      <c r="G1" s="8" t="s">
        <v>23</v>
      </c>
      <c r="H1" t="s">
        <v>28</v>
      </c>
      <c r="K1" t="s">
        <v>25</v>
      </c>
      <c r="L1" t="s">
        <v>24</v>
      </c>
    </row>
    <row r="2" spans="1:12" x14ac:dyDescent="0.3">
      <c r="A2" s="6">
        <v>1</v>
      </c>
      <c r="B2" s="4" t="s">
        <v>6</v>
      </c>
      <c r="C2" s="4" t="s">
        <v>7</v>
      </c>
      <c r="D2" s="9" t="s">
        <v>8</v>
      </c>
      <c r="E2" s="6">
        <v>72</v>
      </c>
      <c r="F2" s="6">
        <v>90</v>
      </c>
      <c r="G2" s="10" t="str">
        <f>_xlfn.XLOOKUP(C2,lookup!$A$2:$A$5,lookup!$C$2:$C$5)</f>
        <v>Business</v>
      </c>
      <c r="H2">
        <f>IF(E2&gt;=50,1,0)</f>
        <v>1</v>
      </c>
      <c r="K2" t="s">
        <v>26</v>
      </c>
      <c r="L2">
        <v>13</v>
      </c>
    </row>
    <row r="3" spans="1:12" x14ac:dyDescent="0.3">
      <c r="A3" s="6">
        <v>2</v>
      </c>
      <c r="B3" s="4" t="s">
        <v>6</v>
      </c>
      <c r="C3" s="4" t="s">
        <v>9</v>
      </c>
      <c r="D3" s="9" t="s">
        <v>10</v>
      </c>
      <c r="E3" s="6">
        <v>45</v>
      </c>
      <c r="F3" s="6">
        <v>70</v>
      </c>
      <c r="G3" s="10" t="str">
        <f>_xlfn.XLOOKUP(C3,lookup!$A$2:$A$5,lookup!$C$2:$C$5)</f>
        <v>Business</v>
      </c>
      <c r="H3">
        <f t="shared" ref="H3:H13" si="0">IF(E3&gt;=50,1,0)</f>
        <v>0</v>
      </c>
      <c r="K3" t="s">
        <v>27</v>
      </c>
      <c r="L3">
        <f>COUNTA(A2:A13)</f>
        <v>12</v>
      </c>
    </row>
    <row r="4" spans="1:12" x14ac:dyDescent="0.3">
      <c r="A4" s="6">
        <v>3</v>
      </c>
      <c r="B4" s="4" t="s">
        <v>6</v>
      </c>
      <c r="C4" s="4" t="s">
        <v>11</v>
      </c>
      <c r="D4" s="9" t="s">
        <v>8</v>
      </c>
      <c r="E4" s="6">
        <v>65</v>
      </c>
      <c r="F4" s="6">
        <v>85</v>
      </c>
      <c r="G4" s="10" t="str">
        <f>_xlfn.XLOOKUP(C4,lookup!$A$2:$A$5,lookup!$C$2:$C$5)</f>
        <v>Technology</v>
      </c>
      <c r="H4">
        <f t="shared" si="0"/>
        <v>1</v>
      </c>
    </row>
    <row r="5" spans="1:12" x14ac:dyDescent="0.3">
      <c r="A5" s="6">
        <v>4</v>
      </c>
      <c r="B5" s="4" t="s">
        <v>6</v>
      </c>
      <c r="C5" s="4" t="s">
        <v>12</v>
      </c>
      <c r="D5" s="9" t="s">
        <v>13</v>
      </c>
      <c r="E5" s="6">
        <v>38</v>
      </c>
      <c r="F5" s="6">
        <v>60</v>
      </c>
      <c r="G5" s="10" t="str">
        <f>_xlfn.XLOOKUP(C5,lookup!$A$2:$A$5,lookup!$C$2:$C$5)</f>
        <v>Technology</v>
      </c>
      <c r="H5">
        <f t="shared" si="0"/>
        <v>0</v>
      </c>
    </row>
    <row r="6" spans="1:12" x14ac:dyDescent="0.3">
      <c r="A6" s="6">
        <v>5</v>
      </c>
      <c r="B6" s="4" t="s">
        <v>14</v>
      </c>
      <c r="C6" s="4" t="s">
        <v>7</v>
      </c>
      <c r="D6" s="9" t="s">
        <v>10</v>
      </c>
      <c r="E6" s="6">
        <v>80</v>
      </c>
      <c r="F6" s="6">
        <v>95</v>
      </c>
      <c r="G6" s="10" t="str">
        <f>_xlfn.XLOOKUP(C6,lookup!$A$2:$A$5,lookup!$C$2:$C$5)</f>
        <v>Business</v>
      </c>
      <c r="H6">
        <f t="shared" si="0"/>
        <v>1</v>
      </c>
    </row>
    <row r="7" spans="1:12" x14ac:dyDescent="0.3">
      <c r="A7" s="6">
        <v>6</v>
      </c>
      <c r="B7" s="4" t="s">
        <v>14</v>
      </c>
      <c r="C7" s="4" t="s">
        <v>9</v>
      </c>
      <c r="D7" s="9" t="s">
        <v>13</v>
      </c>
      <c r="E7" s="6">
        <v>55</v>
      </c>
      <c r="F7" s="6">
        <v>80</v>
      </c>
      <c r="G7" s="10" t="str">
        <f>_xlfn.XLOOKUP(C7,lookup!$A$2:$A$5,lookup!$C$2:$C$5)</f>
        <v>Business</v>
      </c>
      <c r="H7">
        <f t="shared" si="0"/>
        <v>1</v>
      </c>
    </row>
    <row r="8" spans="1:12" x14ac:dyDescent="0.3">
      <c r="A8" s="6">
        <v>7</v>
      </c>
      <c r="B8" s="4" t="s">
        <v>14</v>
      </c>
      <c r="C8" s="4" t="s">
        <v>11</v>
      </c>
      <c r="D8" s="9" t="s">
        <v>8</v>
      </c>
      <c r="E8" s="6">
        <v>48</v>
      </c>
      <c r="F8" s="6">
        <v>75</v>
      </c>
      <c r="G8" s="10" t="str">
        <f>_xlfn.XLOOKUP(C8,lookup!$A$2:$A$5,lookup!$C$2:$C$5)</f>
        <v>Technology</v>
      </c>
      <c r="H8">
        <f t="shared" si="0"/>
        <v>0</v>
      </c>
    </row>
    <row r="9" spans="1:12" x14ac:dyDescent="0.3">
      <c r="A9" s="6">
        <v>8</v>
      </c>
      <c r="B9" s="4" t="s">
        <v>14</v>
      </c>
      <c r="C9" s="4" t="s">
        <v>12</v>
      </c>
      <c r="D9" s="9" t="s">
        <v>10</v>
      </c>
      <c r="E9" s="6">
        <v>68</v>
      </c>
      <c r="F9" s="6">
        <v>88</v>
      </c>
      <c r="G9" s="10" t="str">
        <f>_xlfn.XLOOKUP(C9,lookup!$A$2:$A$5,lookup!$C$2:$C$5)</f>
        <v>Technology</v>
      </c>
      <c r="H9">
        <f t="shared" si="0"/>
        <v>1</v>
      </c>
    </row>
    <row r="10" spans="1:12" x14ac:dyDescent="0.3">
      <c r="A10" s="6">
        <v>9</v>
      </c>
      <c r="B10" s="4" t="s">
        <v>15</v>
      </c>
      <c r="C10" s="4" t="s">
        <v>7</v>
      </c>
      <c r="D10" s="9" t="s">
        <v>13</v>
      </c>
      <c r="E10" s="6">
        <v>90</v>
      </c>
      <c r="F10" s="6">
        <v>98</v>
      </c>
      <c r="G10" s="10" t="str">
        <f>_xlfn.XLOOKUP(C10,lookup!$A$2:$A$5,lookup!$C$2:$C$5)</f>
        <v>Business</v>
      </c>
      <c r="H10">
        <f t="shared" si="0"/>
        <v>1</v>
      </c>
    </row>
    <row r="11" spans="1:12" x14ac:dyDescent="0.3">
      <c r="A11" s="6">
        <v>10</v>
      </c>
      <c r="B11" s="4" t="s">
        <v>15</v>
      </c>
      <c r="C11" s="4" t="s">
        <v>9</v>
      </c>
      <c r="D11" s="9" t="s">
        <v>8</v>
      </c>
      <c r="E11" s="6">
        <v>60</v>
      </c>
      <c r="F11" s="6">
        <v>82</v>
      </c>
      <c r="G11" s="10" t="str">
        <f>_xlfn.XLOOKUP(C11,lookup!$A$2:$A$5,lookup!$C$2:$C$5)</f>
        <v>Business</v>
      </c>
      <c r="H11">
        <f t="shared" si="0"/>
        <v>1</v>
      </c>
    </row>
    <row r="12" spans="1:12" x14ac:dyDescent="0.3">
      <c r="A12" s="6">
        <v>11</v>
      </c>
      <c r="B12" s="4" t="s">
        <v>15</v>
      </c>
      <c r="C12" s="4" t="s">
        <v>11</v>
      </c>
      <c r="D12" s="9" t="s">
        <v>10</v>
      </c>
      <c r="E12" s="6">
        <v>75</v>
      </c>
      <c r="F12" s="6">
        <v>92</v>
      </c>
      <c r="G12" s="10" t="str">
        <f>_xlfn.XLOOKUP(C12,lookup!$A$2:$A$5,lookup!$C$2:$C$5)</f>
        <v>Technology</v>
      </c>
      <c r="H12">
        <f t="shared" si="0"/>
        <v>1</v>
      </c>
    </row>
    <row r="13" spans="1:12" x14ac:dyDescent="0.3">
      <c r="A13" s="6">
        <v>12</v>
      </c>
      <c r="B13" s="4" t="s">
        <v>15</v>
      </c>
      <c r="C13" s="4" t="s">
        <v>12</v>
      </c>
      <c r="D13" s="9" t="s">
        <v>13</v>
      </c>
      <c r="E13" s="6">
        <v>42</v>
      </c>
      <c r="F13" s="6">
        <v>65</v>
      </c>
      <c r="G13" s="10" t="str">
        <f>_xlfn.XLOOKUP(C13,lookup!$A$2:$A$5,lookup!$C$2:$C$5)</f>
        <v>Technology</v>
      </c>
      <c r="H13">
        <f t="shared" si="0"/>
        <v>0</v>
      </c>
    </row>
    <row r="14" spans="1:12" x14ac:dyDescent="0.3">
      <c r="A14" s="1"/>
      <c r="B14" s="4"/>
      <c r="C14" s="4"/>
      <c r="D14" s="4"/>
      <c r="E14" s="6"/>
      <c r="F1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2D420-26A8-4D82-9C85-839BF68A4E13}">
  <dimension ref="A1:H14"/>
  <sheetViews>
    <sheetView tabSelected="1" topLeftCell="G2537" zoomScale="70" zoomScaleNormal="70" workbookViewId="0">
      <selection activeCell="L2545" activeCellId="1" sqref="H2541 L2545"/>
    </sheetView>
  </sheetViews>
  <sheetFormatPr defaultRowHeight="14.4" x14ac:dyDescent="0.3"/>
  <cols>
    <col min="4" max="4" width="8.88671875" customWidth="1"/>
    <col min="8" max="8" width="11" customWidth="1"/>
  </cols>
  <sheetData>
    <row r="1" spans="1:8" ht="43.2" x14ac:dyDescent="0.3">
      <c r="A1" s="3" t="s">
        <v>29</v>
      </c>
      <c r="B1" s="2" t="s">
        <v>30</v>
      </c>
    </row>
    <row r="2" spans="1:8" x14ac:dyDescent="0.3">
      <c r="A2" s="4" t="s">
        <v>8</v>
      </c>
      <c r="B2" s="1">
        <f>COUNTIFS(clean!$D$2:$D$13,"Morning",clean!$H$2:$H$13,1)</f>
        <v>3</v>
      </c>
    </row>
    <row r="3" spans="1:8" x14ac:dyDescent="0.3">
      <c r="A3" s="4" t="s">
        <v>10</v>
      </c>
      <c r="B3" s="1">
        <f>COUNTIFS(clean!$D$2:$D$13,"Evening",clean!$H$2:$H$13,1)</f>
        <v>3</v>
      </c>
    </row>
    <row r="4" spans="1:8" x14ac:dyDescent="0.3">
      <c r="A4" s="4" t="s">
        <v>13</v>
      </c>
      <c r="B4" s="1">
        <f>COUNTIFS(clean!$D$2:$D$13,"Weekend",clean!$H$2:$H$13,1)</f>
        <v>2</v>
      </c>
    </row>
    <row r="10" spans="1:8" x14ac:dyDescent="0.3">
      <c r="D10" s="11" t="s">
        <v>34</v>
      </c>
      <c r="E10" s="11" t="s">
        <v>33</v>
      </c>
    </row>
    <row r="11" spans="1:8" x14ac:dyDescent="0.3">
      <c r="D11" s="11" t="s">
        <v>31</v>
      </c>
      <c r="E11" t="s">
        <v>6</v>
      </c>
      <c r="F11" t="s">
        <v>14</v>
      </c>
      <c r="G11" t="s">
        <v>15</v>
      </c>
      <c r="H11" t="s">
        <v>32</v>
      </c>
    </row>
    <row r="12" spans="1:8" x14ac:dyDescent="0.3">
      <c r="D12" s="12" t="s">
        <v>17</v>
      </c>
      <c r="E12" s="7">
        <v>58.5</v>
      </c>
      <c r="F12" s="7">
        <v>67.5</v>
      </c>
      <c r="G12" s="7">
        <v>75</v>
      </c>
      <c r="H12" s="7">
        <v>67</v>
      </c>
    </row>
    <row r="13" spans="1:8" x14ac:dyDescent="0.3">
      <c r="D13" s="12" t="s">
        <v>20</v>
      </c>
      <c r="E13" s="7">
        <v>51.5</v>
      </c>
      <c r="F13" s="7">
        <v>58</v>
      </c>
      <c r="G13" s="7">
        <v>58.5</v>
      </c>
      <c r="H13" s="7">
        <v>56</v>
      </c>
    </row>
    <row r="14" spans="1:8" x14ac:dyDescent="0.3">
      <c r="D14" s="12" t="s">
        <v>32</v>
      </c>
      <c r="E14" s="7">
        <v>55</v>
      </c>
      <c r="F14" s="7">
        <v>62.75</v>
      </c>
      <c r="G14" s="7">
        <v>66.75</v>
      </c>
      <c r="H14" s="7">
        <v>61.5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nehalthakkar520@gmail.com</dc:creator>
  <cp:lastModifiedBy>nehalthakkar520@gmail.com</cp:lastModifiedBy>
  <dcterms:created xsi:type="dcterms:W3CDTF">2026-09-29T03:54:24Z</dcterms:created>
  <dcterms:modified xsi:type="dcterms:W3CDTF">2026-10-10T08:19:17Z</dcterms:modified>
</cp:coreProperties>
</file>